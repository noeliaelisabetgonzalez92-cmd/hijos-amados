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F68729B3-C13F-4626-89C8-9A54C9CFFF66}" xr6:coauthVersionLast="47" xr6:coauthVersionMax="47" xr10:uidLastSave="{00000000-0000-0000-0000-000000000000}"/>
  <bookViews>
    <workbookView xWindow="-108" yWindow="-108" windowWidth="23256" windowHeight="12456" xr2:uid="{C02A1232-532A-4D86-ADD0-A5A12EEEC4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P11" i="1"/>
  <c r="M16" i="1" s="1"/>
  <c r="M11" i="1"/>
  <c r="J8" i="1"/>
  <c r="J16" i="1" l="1"/>
  <c r="J19" i="1"/>
</calcChain>
</file>

<file path=xl/sharedStrings.xml><?xml version="1.0" encoding="utf-8"?>
<sst xmlns="http://schemas.openxmlformats.org/spreadsheetml/2006/main" count="67" uniqueCount="46">
  <si>
    <t>ENTRADAS VPM</t>
  </si>
  <si>
    <t>Nombre y Apellido</t>
  </si>
  <si>
    <t>PRESENTE</t>
  </si>
  <si>
    <t>PAGOS</t>
  </si>
  <si>
    <t>TOTAL</t>
  </si>
  <si>
    <t>MARI GIMENEZ</t>
  </si>
  <si>
    <t>TRANSFERENCIA</t>
  </si>
  <si>
    <t>MARTINA SOSA</t>
  </si>
  <si>
    <t>MERCADO PAGO - ENTRADAS</t>
  </si>
  <si>
    <t xml:space="preserve">ISAIAS </t>
  </si>
  <si>
    <t>EFECTIVO SILVI</t>
  </si>
  <si>
    <t xml:space="preserve">MIA </t>
  </si>
  <si>
    <t>LAUTARO F</t>
  </si>
  <si>
    <t>EFECTIVO - NOE</t>
  </si>
  <si>
    <t>SIEMBRAS</t>
  </si>
  <si>
    <t>NICOLE</t>
  </si>
  <si>
    <t>EFECTIVO - SIL</t>
  </si>
  <si>
    <t>MARTINA RUIZ</t>
  </si>
  <si>
    <t>CIRO FERNANDEZ</t>
  </si>
  <si>
    <t>ESTEFANIA</t>
  </si>
  <si>
    <t>RESTAN DE LA SIEMBRA</t>
  </si>
  <si>
    <t>PAGAMOS HOTEL</t>
  </si>
  <si>
    <t>DANIEL ESCOBAR</t>
  </si>
  <si>
    <t>RESTO EN TRASNFE DESC GASTOS</t>
  </si>
  <si>
    <t>SARA VILLARUEL</t>
  </si>
  <si>
    <t>GLADIS MAMA DE CIN</t>
  </si>
  <si>
    <t>DYLAN</t>
  </si>
  <si>
    <t>ANDRES MANFRON</t>
  </si>
  <si>
    <t>TATI NIETA DE ALICIA</t>
  </si>
  <si>
    <t>ALAN HIJO DE JULIA</t>
  </si>
  <si>
    <t>MARCELA BLANCO</t>
  </si>
  <si>
    <t>PASTOR EDUARDO</t>
  </si>
  <si>
    <t>EFECTIVO</t>
  </si>
  <si>
    <t>SIL LE PRESTAMOS $30.000</t>
  </si>
  <si>
    <t>PASTORA YOLI</t>
  </si>
  <si>
    <t>JOSIAS</t>
  </si>
  <si>
    <t>EZEQUIEL PRONUCIAMIENTO</t>
  </si>
  <si>
    <t>MIA NOVIA DE LIO</t>
  </si>
  <si>
    <t>MERCEDES VILLARINO (ALE JUAREZ)</t>
  </si>
  <si>
    <t>FACUNDO VILLARINO (ALE JUAREZ)</t>
  </si>
  <si>
    <t>XIOMARA</t>
  </si>
  <si>
    <t>MELINA</t>
  </si>
  <si>
    <t xml:space="preserve">LORENZO </t>
  </si>
  <si>
    <t>JUAN ESCOBAR</t>
  </si>
  <si>
    <t>DORA ROMERO</t>
  </si>
  <si>
    <t>PAGA EN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</si>
</sst>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44" formatCode="_-&quot;$&quot;\ * #,##0.00_-;\-&quot;$&quot;\ * #,##0.00_-;_-&quot;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D818A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4" fontId="5" fillId="3" borderId="0" xfId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6" fontId="2" fillId="5" borderId="1" xfId="0" applyNumberFormat="1" applyFont="1" applyFill="1" applyBorder="1" applyAlignment="1">
      <alignment horizontal="center"/>
    </xf>
    <xf numFmtId="44" fontId="2" fillId="6" borderId="1" xfId="1" applyFont="1" applyFill="1" applyBorder="1"/>
    <xf numFmtId="44" fontId="2" fillId="5" borderId="1" xfId="1" applyFont="1" applyFill="1" applyBorder="1"/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44" fontId="2" fillId="8" borderId="1" xfId="1" applyFont="1" applyFill="1" applyBorder="1"/>
    <xf numFmtId="0" fontId="2" fillId="5" borderId="1" xfId="0" applyFont="1" applyFill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44" fontId="2" fillId="0" borderId="4" xfId="1" applyFont="1" applyBorder="1" applyAlignment="1">
      <alignment horizontal="center"/>
    </xf>
    <xf numFmtId="44" fontId="2" fillId="0" borderId="9" xfId="1" applyFont="1" applyBorder="1" applyAlignment="1">
      <alignment horizontal="center"/>
    </xf>
    <xf numFmtId="44" fontId="2" fillId="0" borderId="5" xfId="1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44" fontId="2" fillId="0" borderId="2" xfId="1" applyFont="1" applyBorder="1" applyAlignment="1">
      <alignment horizontal="center"/>
    </xf>
    <xf numFmtId="44" fontId="2" fillId="0" borderId="0" xfId="1" applyFont="1" applyBorder="1" applyAlignment="1">
      <alignment horizontal="center"/>
    </xf>
    <xf numFmtId="44" fontId="2" fillId="0" borderId="3" xfId="1" applyFont="1" applyBorder="1" applyAlignment="1">
      <alignment horizontal="center"/>
    </xf>
    <xf numFmtId="0" fontId="2" fillId="11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44" fontId="6" fillId="13" borderId="0" xfId="0" applyNumberFormat="1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44" fontId="2" fillId="14" borderId="1" xfId="1" applyFont="1" applyFill="1" applyBorder="1"/>
    <xf numFmtId="0" fontId="7" fillId="0" borderId="0" xfId="0" applyFont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1" xfId="0" applyFill="1" applyBorder="1"/>
    <xf numFmtId="44" fontId="0" fillId="14" borderId="1" xfId="1" applyFont="1" applyFill="1" applyBorder="1"/>
    <xf numFmtId="0" fontId="0" fillId="16" borderId="1" xfId="0" applyFill="1" applyBorder="1" applyAlignment="1">
      <alignment horizontal="center"/>
    </xf>
    <xf numFmtId="44" fontId="2" fillId="5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44" fontId="0" fillId="5" borderId="1" xfId="1" applyFont="1" applyFill="1" applyBorder="1"/>
    <xf numFmtId="0" fontId="0" fillId="17" borderId="1" xfId="0" applyFill="1" applyBorder="1" applyAlignment="1">
      <alignment horizontal="center"/>
    </xf>
    <xf numFmtId="0" fontId="0" fillId="17" borderId="1" xfId="0" applyFill="1" applyBorder="1"/>
    <xf numFmtId="44" fontId="0" fillId="17" borderId="1" xfId="1" applyFont="1" applyFill="1" applyBorder="1"/>
    <xf numFmtId="44" fontId="0" fillId="0" borderId="1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280C-D67A-4729-B77A-6D8CB826A38D}">
  <dimension ref="A1:Q40"/>
  <sheetViews>
    <sheetView tabSelected="1" workbookViewId="0">
      <selection sqref="A1:R40"/>
    </sheetView>
  </sheetViews>
  <sheetFormatPr baseColWidth="10" defaultRowHeight="14.4" x14ac:dyDescent="0.3"/>
  <sheetData>
    <row r="1" spans="1:17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17" x14ac:dyDescent="0.3">
      <c r="A2" s="1"/>
      <c r="B2" s="1"/>
      <c r="C2" s="1"/>
      <c r="D2" s="1"/>
      <c r="E2" s="1"/>
      <c r="F2" s="1"/>
      <c r="G2" s="1"/>
      <c r="H2" s="1"/>
    </row>
    <row r="3" spans="1:17" x14ac:dyDescent="0.3">
      <c r="A3" s="1"/>
      <c r="B3" s="1"/>
      <c r="C3" s="1"/>
      <c r="D3" s="1"/>
      <c r="E3" s="1"/>
      <c r="F3" s="1"/>
      <c r="G3" s="1"/>
      <c r="H3" s="1"/>
    </row>
    <row r="4" spans="1:17" ht="25.8" x14ac:dyDescent="0.3">
      <c r="A4" s="2"/>
      <c r="B4" s="3" t="s">
        <v>1</v>
      </c>
      <c r="C4" s="3"/>
      <c r="D4" s="3"/>
      <c r="E4" s="4" t="s">
        <v>2</v>
      </c>
      <c r="F4" s="5" t="s">
        <v>3</v>
      </c>
      <c r="G4" s="5"/>
      <c r="H4" s="4" t="s">
        <v>4</v>
      </c>
    </row>
    <row r="5" spans="1:17" x14ac:dyDescent="0.3">
      <c r="A5" s="6">
        <v>1</v>
      </c>
      <c r="B5" s="7" t="s">
        <v>5</v>
      </c>
      <c r="C5" s="7"/>
      <c r="D5" s="7"/>
      <c r="E5" s="8"/>
      <c r="F5" s="9" t="s">
        <v>6</v>
      </c>
      <c r="G5" s="9"/>
      <c r="H5" s="10">
        <v>20000</v>
      </c>
    </row>
    <row r="6" spans="1:17" x14ac:dyDescent="0.3">
      <c r="A6" s="6">
        <v>2</v>
      </c>
      <c r="B6" s="7" t="s">
        <v>7</v>
      </c>
      <c r="C6" s="7"/>
      <c r="D6" s="7"/>
      <c r="E6" s="8"/>
      <c r="F6" s="9" t="s">
        <v>6</v>
      </c>
      <c r="G6" s="9"/>
      <c r="H6" s="11">
        <v>20000</v>
      </c>
      <c r="J6" s="12" t="s">
        <v>8</v>
      </c>
      <c r="K6" s="12"/>
      <c r="L6" s="12"/>
    </row>
    <row r="7" spans="1:17" x14ac:dyDescent="0.3">
      <c r="A7" s="6">
        <v>3</v>
      </c>
      <c r="B7" s="7" t="s">
        <v>9</v>
      </c>
      <c r="C7" s="7"/>
      <c r="D7" s="7"/>
      <c r="E7" s="8"/>
      <c r="F7" s="13" t="s">
        <v>10</v>
      </c>
      <c r="G7" s="13"/>
      <c r="H7" s="14">
        <v>20000</v>
      </c>
      <c r="J7" s="12"/>
      <c r="K7" s="12"/>
      <c r="L7" s="12"/>
    </row>
    <row r="8" spans="1:17" x14ac:dyDescent="0.3">
      <c r="A8" s="6">
        <v>4</v>
      </c>
      <c r="B8" s="7" t="s">
        <v>11</v>
      </c>
      <c r="C8" s="7"/>
      <c r="D8" s="7"/>
      <c r="E8" s="8"/>
      <c r="F8" s="15" t="s">
        <v>6</v>
      </c>
      <c r="G8" s="15"/>
      <c r="H8" s="10">
        <v>20000</v>
      </c>
      <c r="J8" s="16">
        <f>SUM(H5:H21)+H26+H31</f>
        <v>380000</v>
      </c>
      <c r="K8" s="17"/>
      <c r="L8" s="17"/>
    </row>
    <row r="9" spans="1:17" x14ac:dyDescent="0.3">
      <c r="A9" s="6">
        <v>5</v>
      </c>
      <c r="B9" s="7" t="s">
        <v>12</v>
      </c>
      <c r="C9" s="7"/>
      <c r="D9" s="7"/>
      <c r="E9" s="8"/>
      <c r="F9" s="15" t="s">
        <v>6</v>
      </c>
      <c r="G9" s="15"/>
      <c r="H9" s="10">
        <v>20000</v>
      </c>
      <c r="J9" s="17"/>
      <c r="K9" s="17"/>
      <c r="L9" s="17"/>
      <c r="M9" s="18" t="s">
        <v>13</v>
      </c>
      <c r="N9" s="19"/>
      <c r="O9" s="20"/>
      <c r="P9" s="21" t="s">
        <v>14</v>
      </c>
      <c r="Q9" s="22"/>
    </row>
    <row r="10" spans="1:17" x14ac:dyDescent="0.3">
      <c r="A10" s="6">
        <v>6</v>
      </c>
      <c r="B10" s="7" t="s">
        <v>15</v>
      </c>
      <c r="C10" s="7"/>
      <c r="D10" s="7"/>
      <c r="E10" s="8"/>
      <c r="F10" s="15" t="s">
        <v>6</v>
      </c>
      <c r="G10" s="15"/>
      <c r="H10" s="10">
        <v>20000</v>
      </c>
      <c r="J10" s="23" t="s">
        <v>16</v>
      </c>
      <c r="K10" s="23"/>
      <c r="L10" s="23"/>
      <c r="M10" s="24"/>
      <c r="N10" s="25"/>
      <c r="O10" s="26"/>
      <c r="P10" s="27"/>
      <c r="Q10" s="28"/>
    </row>
    <row r="11" spans="1:17" x14ac:dyDescent="0.3">
      <c r="A11" s="6">
        <v>7</v>
      </c>
      <c r="B11" s="7" t="s">
        <v>17</v>
      </c>
      <c r="C11" s="7"/>
      <c r="D11" s="7"/>
      <c r="E11" s="8"/>
      <c r="F11" s="15" t="s">
        <v>6</v>
      </c>
      <c r="G11" s="15"/>
      <c r="H11" s="10">
        <v>20000</v>
      </c>
      <c r="J11" s="23"/>
      <c r="K11" s="23"/>
      <c r="L11" s="23"/>
      <c r="M11" s="29">
        <f>H22+H23+H24</f>
        <v>50000</v>
      </c>
      <c r="N11" s="30"/>
      <c r="O11" s="31"/>
      <c r="P11" s="32">
        <f>80000+89400</f>
        <v>169400</v>
      </c>
      <c r="Q11" s="32"/>
    </row>
    <row r="12" spans="1:17" x14ac:dyDescent="0.3">
      <c r="A12" s="6">
        <v>8</v>
      </c>
      <c r="B12" s="7" t="s">
        <v>18</v>
      </c>
      <c r="C12" s="7"/>
      <c r="D12" s="7"/>
      <c r="E12" s="8"/>
      <c r="F12" s="15" t="s">
        <v>6</v>
      </c>
      <c r="G12" s="15"/>
      <c r="H12" s="10">
        <v>20000</v>
      </c>
      <c r="J12" s="32">
        <v>10000</v>
      </c>
      <c r="K12" s="32"/>
      <c r="L12" s="32"/>
      <c r="M12" s="33"/>
      <c r="N12" s="34"/>
      <c r="O12" s="35"/>
      <c r="P12" s="32"/>
      <c r="Q12" s="32"/>
    </row>
    <row r="13" spans="1:17" x14ac:dyDescent="0.3">
      <c r="A13" s="6">
        <v>9</v>
      </c>
      <c r="B13" s="7" t="s">
        <v>19</v>
      </c>
      <c r="C13" s="7"/>
      <c r="D13" s="7"/>
      <c r="E13" s="8"/>
      <c r="F13" s="15" t="s">
        <v>6</v>
      </c>
      <c r="G13" s="15"/>
      <c r="H13" s="10">
        <v>20000</v>
      </c>
      <c r="J13" s="32"/>
      <c r="K13" s="32"/>
      <c r="L13" s="32"/>
      <c r="M13" s="36" t="s">
        <v>20</v>
      </c>
      <c r="N13" s="37"/>
      <c r="P13" s="38" t="s">
        <v>21</v>
      </c>
      <c r="Q13" s="38"/>
    </row>
    <row r="14" spans="1:17" x14ac:dyDescent="0.3">
      <c r="A14" s="6">
        <v>10</v>
      </c>
      <c r="B14" s="7" t="s">
        <v>22</v>
      </c>
      <c r="C14" s="7"/>
      <c r="D14" s="7"/>
      <c r="E14" s="8"/>
      <c r="F14" s="15" t="s">
        <v>6</v>
      </c>
      <c r="G14" s="15"/>
      <c r="H14" s="10">
        <v>20000</v>
      </c>
      <c r="J14" s="39" t="s">
        <v>23</v>
      </c>
      <c r="K14" s="39"/>
      <c r="L14" s="39"/>
      <c r="M14" s="40"/>
      <c r="N14" s="41"/>
      <c r="P14" s="32">
        <f>44700+89400</f>
        <v>134100</v>
      </c>
      <c r="Q14" s="32"/>
    </row>
    <row r="15" spans="1:17" x14ac:dyDescent="0.3">
      <c r="A15" s="6">
        <v>11</v>
      </c>
      <c r="B15" s="7" t="s">
        <v>24</v>
      </c>
      <c r="C15" s="7"/>
      <c r="D15" s="7"/>
      <c r="E15" s="8"/>
      <c r="F15" s="15" t="s">
        <v>6</v>
      </c>
      <c r="G15" s="15"/>
      <c r="H15" s="10">
        <v>20000</v>
      </c>
      <c r="J15" s="39"/>
      <c r="K15" s="39"/>
      <c r="L15" s="39"/>
      <c r="M15" s="42"/>
      <c r="N15" s="43"/>
      <c r="P15" s="32"/>
      <c r="Q15" s="32"/>
    </row>
    <row r="16" spans="1:17" x14ac:dyDescent="0.3">
      <c r="A16" s="6">
        <v>12</v>
      </c>
      <c r="B16" s="7" t="s">
        <v>25</v>
      </c>
      <c r="C16" s="7"/>
      <c r="D16" s="7"/>
      <c r="E16" s="8"/>
      <c r="F16" s="15" t="s">
        <v>6</v>
      </c>
      <c r="G16" s="15"/>
      <c r="H16" s="11">
        <v>20000</v>
      </c>
      <c r="J16" s="16">
        <f>J8-45000-100000</f>
        <v>235000</v>
      </c>
      <c r="K16" s="17"/>
      <c r="L16" s="17"/>
      <c r="M16" s="16">
        <f>P11-P14</f>
        <v>35300</v>
      </c>
      <c r="N16" s="17"/>
    </row>
    <row r="17" spans="1:14" x14ac:dyDescent="0.3">
      <c r="A17" s="6">
        <v>13</v>
      </c>
      <c r="B17" s="7" t="s">
        <v>26</v>
      </c>
      <c r="C17" s="7"/>
      <c r="D17" s="7"/>
      <c r="E17" s="8"/>
      <c r="F17" s="15" t="s">
        <v>6</v>
      </c>
      <c r="G17" s="15"/>
      <c r="H17" s="11">
        <v>20000</v>
      </c>
      <c r="J17" s="17"/>
      <c r="K17" s="17"/>
      <c r="L17" s="17"/>
      <c r="M17" s="17"/>
      <c r="N17" s="17"/>
    </row>
    <row r="18" spans="1:14" x14ac:dyDescent="0.3">
      <c r="A18" s="6">
        <v>14</v>
      </c>
      <c r="B18" s="7" t="s">
        <v>27</v>
      </c>
      <c r="C18" s="7"/>
      <c r="D18" s="7"/>
      <c r="E18" s="8"/>
      <c r="F18" s="15" t="s">
        <v>6</v>
      </c>
      <c r="G18" s="15"/>
      <c r="H18" s="11">
        <v>20000</v>
      </c>
    </row>
    <row r="19" spans="1:14" x14ac:dyDescent="0.3">
      <c r="A19" s="6">
        <v>15</v>
      </c>
      <c r="B19" s="7" t="s">
        <v>28</v>
      </c>
      <c r="C19" s="7"/>
      <c r="D19" s="7"/>
      <c r="E19" s="8"/>
      <c r="F19" s="15" t="s">
        <v>6</v>
      </c>
      <c r="G19" s="15"/>
      <c r="H19" s="11">
        <v>20000</v>
      </c>
      <c r="J19" s="44">
        <f>J8-45000-30000-100000+20000</f>
        <v>225000</v>
      </c>
      <c r="K19" s="45"/>
      <c r="L19" s="45"/>
      <c r="M19" s="45"/>
      <c r="N19" s="45"/>
    </row>
    <row r="20" spans="1:14" x14ac:dyDescent="0.3">
      <c r="A20" s="6">
        <v>16</v>
      </c>
      <c r="B20" s="7" t="s">
        <v>29</v>
      </c>
      <c r="C20" s="7"/>
      <c r="D20" s="7"/>
      <c r="E20" s="8"/>
      <c r="F20" s="15" t="s">
        <v>6</v>
      </c>
      <c r="G20" s="15"/>
      <c r="H20" s="11">
        <v>20000</v>
      </c>
      <c r="J20" s="45"/>
      <c r="K20" s="45"/>
      <c r="L20" s="45"/>
      <c r="M20" s="45"/>
      <c r="N20" s="45"/>
    </row>
    <row r="21" spans="1:14" x14ac:dyDescent="0.3">
      <c r="A21" s="6">
        <v>17</v>
      </c>
      <c r="B21" s="7" t="s">
        <v>30</v>
      </c>
      <c r="C21" s="7"/>
      <c r="D21" s="7"/>
      <c r="E21" s="8"/>
      <c r="F21" s="15" t="s">
        <v>6</v>
      </c>
      <c r="G21" s="15"/>
      <c r="H21" s="11">
        <v>20000</v>
      </c>
      <c r="J21" s="45"/>
      <c r="K21" s="45"/>
      <c r="L21" s="45"/>
      <c r="M21" s="45"/>
      <c r="N21" s="45"/>
    </row>
    <row r="22" spans="1:14" x14ac:dyDescent="0.3">
      <c r="A22" s="6">
        <v>18</v>
      </c>
      <c r="B22" s="46" t="s">
        <v>31</v>
      </c>
      <c r="C22" s="46"/>
      <c r="D22" s="46"/>
      <c r="E22" s="8"/>
      <c r="F22" s="47" t="s">
        <v>32</v>
      </c>
      <c r="G22" s="47"/>
      <c r="H22" s="48">
        <v>20000</v>
      </c>
      <c r="J22" s="49" t="s">
        <v>33</v>
      </c>
      <c r="K22" s="49"/>
      <c r="L22" s="49"/>
      <c r="M22" s="50"/>
      <c r="N22" s="49"/>
    </row>
    <row r="23" spans="1:14" x14ac:dyDescent="0.3">
      <c r="A23" s="6">
        <v>19</v>
      </c>
      <c r="B23" s="46" t="s">
        <v>34</v>
      </c>
      <c r="C23" s="46"/>
      <c r="D23" s="46"/>
      <c r="E23" s="8"/>
      <c r="F23" s="47" t="s">
        <v>32</v>
      </c>
      <c r="G23" s="47"/>
      <c r="H23" s="48">
        <v>20000</v>
      </c>
      <c r="J23" s="49"/>
      <c r="K23" s="49"/>
      <c r="L23" s="49"/>
      <c r="M23" s="49"/>
      <c r="N23" s="49"/>
    </row>
    <row r="24" spans="1:14" x14ac:dyDescent="0.3">
      <c r="A24" s="6">
        <v>20</v>
      </c>
      <c r="B24" s="46" t="s">
        <v>35</v>
      </c>
      <c r="C24" s="46"/>
      <c r="D24" s="46"/>
      <c r="E24" s="8"/>
      <c r="F24" s="47" t="s">
        <v>32</v>
      </c>
      <c r="G24" s="47"/>
      <c r="H24" s="48">
        <v>10000</v>
      </c>
    </row>
    <row r="25" spans="1:14" x14ac:dyDescent="0.3">
      <c r="A25" s="6">
        <v>21</v>
      </c>
      <c r="B25" s="46" t="s">
        <v>36</v>
      </c>
      <c r="C25" s="46"/>
      <c r="D25" s="46"/>
      <c r="E25" s="8"/>
      <c r="F25" s="47" t="s">
        <v>32</v>
      </c>
      <c r="G25" s="47"/>
      <c r="H25" s="48">
        <v>20000</v>
      </c>
    </row>
    <row r="26" spans="1:14" x14ac:dyDescent="0.3">
      <c r="A26" s="6">
        <v>22</v>
      </c>
      <c r="B26" s="51" t="s">
        <v>37</v>
      </c>
      <c r="C26" s="51"/>
      <c r="D26" s="51"/>
      <c r="E26" s="8"/>
      <c r="F26" s="15" t="s">
        <v>6</v>
      </c>
      <c r="G26" s="15"/>
      <c r="H26" s="11">
        <v>20000</v>
      </c>
    </row>
    <row r="27" spans="1:14" x14ac:dyDescent="0.3">
      <c r="A27" s="6">
        <v>23</v>
      </c>
      <c r="B27" s="52" t="s">
        <v>38</v>
      </c>
      <c r="C27" s="53"/>
      <c r="D27" s="54"/>
      <c r="E27" s="55"/>
      <c r="F27" s="46"/>
      <c r="G27" s="46"/>
      <c r="H27" s="56"/>
    </row>
    <row r="28" spans="1:14" x14ac:dyDescent="0.3">
      <c r="A28" s="6">
        <v>24</v>
      </c>
      <c r="B28" s="46" t="s">
        <v>39</v>
      </c>
      <c r="C28" s="46"/>
      <c r="D28" s="46"/>
      <c r="E28" s="55"/>
      <c r="F28" s="46"/>
      <c r="G28" s="46"/>
      <c r="H28" s="56"/>
    </row>
    <row r="29" spans="1:14" x14ac:dyDescent="0.3">
      <c r="A29" s="6">
        <v>25</v>
      </c>
      <c r="B29" s="46" t="s">
        <v>40</v>
      </c>
      <c r="C29" s="46"/>
      <c r="D29" s="46"/>
      <c r="E29" s="55"/>
      <c r="F29" s="46"/>
      <c r="G29" s="46"/>
      <c r="H29" s="56"/>
    </row>
    <row r="30" spans="1:14" x14ac:dyDescent="0.3">
      <c r="A30" s="6">
        <v>26</v>
      </c>
      <c r="B30" s="46" t="s">
        <v>41</v>
      </c>
      <c r="C30" s="46"/>
      <c r="D30" s="46"/>
      <c r="E30" s="55"/>
      <c r="F30" s="46"/>
      <c r="G30" s="46"/>
      <c r="H30" s="56"/>
    </row>
    <row r="31" spans="1:14" x14ac:dyDescent="0.3">
      <c r="A31" s="6">
        <v>27</v>
      </c>
      <c r="B31" s="57" t="s">
        <v>42</v>
      </c>
      <c r="C31" s="57"/>
      <c r="D31" s="57"/>
      <c r="E31" s="8"/>
      <c r="F31" s="58" t="s">
        <v>6</v>
      </c>
      <c r="G31" s="58"/>
      <c r="H31" s="11">
        <v>20000</v>
      </c>
    </row>
    <row r="32" spans="1:14" x14ac:dyDescent="0.3">
      <c r="A32" s="6">
        <v>28</v>
      </c>
      <c r="B32" s="59" t="s">
        <v>43</v>
      </c>
      <c r="C32" s="59"/>
      <c r="D32" s="59"/>
      <c r="E32" s="8"/>
      <c r="F32" s="60" t="s">
        <v>6</v>
      </c>
      <c r="G32" s="60"/>
      <c r="H32" s="61">
        <v>20000</v>
      </c>
    </row>
    <row r="33" spans="1:8" x14ac:dyDescent="0.3">
      <c r="A33" s="6">
        <v>29</v>
      </c>
      <c r="B33" s="62" t="s">
        <v>44</v>
      </c>
      <c r="C33" s="62"/>
      <c r="D33" s="62"/>
      <c r="E33" s="63"/>
      <c r="F33" s="62" t="s">
        <v>45</v>
      </c>
      <c r="G33" s="62"/>
      <c r="H33" s="64"/>
    </row>
    <row r="34" spans="1:8" x14ac:dyDescent="0.3">
      <c r="A34" s="6">
        <v>30</v>
      </c>
      <c r="B34" s="59"/>
      <c r="C34" s="59"/>
      <c r="D34" s="59"/>
      <c r="E34" s="8"/>
      <c r="F34" s="59"/>
      <c r="G34" s="59"/>
      <c r="H34" s="65"/>
    </row>
    <row r="35" spans="1:8" x14ac:dyDescent="0.3">
      <c r="A35" s="6">
        <v>31</v>
      </c>
      <c r="B35" s="59"/>
      <c r="C35" s="59"/>
      <c r="D35" s="59"/>
      <c r="E35" s="8"/>
      <c r="F35" s="59"/>
      <c r="G35" s="59"/>
      <c r="H35" s="65"/>
    </row>
    <row r="36" spans="1:8" x14ac:dyDescent="0.3">
      <c r="A36" s="6">
        <v>32</v>
      </c>
      <c r="B36" s="59"/>
      <c r="C36" s="59"/>
      <c r="D36" s="59"/>
      <c r="E36" s="8"/>
      <c r="F36" s="59"/>
      <c r="G36" s="59"/>
      <c r="H36" s="65"/>
    </row>
    <row r="37" spans="1:8" x14ac:dyDescent="0.3">
      <c r="A37" s="6">
        <v>33</v>
      </c>
      <c r="B37" s="59"/>
      <c r="C37" s="59"/>
      <c r="D37" s="59"/>
      <c r="E37" s="8"/>
      <c r="F37" s="59"/>
      <c r="G37" s="59"/>
      <c r="H37" s="65"/>
    </row>
    <row r="38" spans="1:8" x14ac:dyDescent="0.3">
      <c r="A38" s="6">
        <v>34</v>
      </c>
      <c r="B38" s="59"/>
      <c r="C38" s="59"/>
      <c r="D38" s="59"/>
      <c r="E38" s="8"/>
      <c r="F38" s="59"/>
      <c r="G38" s="59"/>
      <c r="H38" s="65"/>
    </row>
    <row r="39" spans="1:8" x14ac:dyDescent="0.3">
      <c r="A39" s="6">
        <v>35</v>
      </c>
      <c r="B39" s="59"/>
      <c r="C39" s="59"/>
      <c r="D39" s="59"/>
      <c r="E39" s="8"/>
      <c r="F39" s="8"/>
      <c r="G39" s="8"/>
      <c r="H39" s="65"/>
    </row>
    <row r="40" spans="1:8" x14ac:dyDescent="0.3">
      <c r="A40" s="6">
        <v>36</v>
      </c>
      <c r="B40" s="59"/>
      <c r="C40" s="59"/>
      <c r="D40" s="59"/>
      <c r="E40" s="8"/>
      <c r="F40" s="8"/>
      <c r="G40" s="8"/>
      <c r="H40" s="65"/>
    </row>
  </sheetData>
  <mergeCells count="90">
    <mergeCell ref="B39:D39"/>
    <mergeCell ref="B40:D40"/>
    <mergeCell ref="B36:D36"/>
    <mergeCell ref="F36:G36"/>
    <mergeCell ref="B37:D37"/>
    <mergeCell ref="F37:G37"/>
    <mergeCell ref="B38:D38"/>
    <mergeCell ref="F38:G38"/>
    <mergeCell ref="B33:D33"/>
    <mergeCell ref="F33:G33"/>
    <mergeCell ref="B34:D34"/>
    <mergeCell ref="F34:G34"/>
    <mergeCell ref="B35:D35"/>
    <mergeCell ref="F35:G35"/>
    <mergeCell ref="B30:D30"/>
    <mergeCell ref="F30:G30"/>
    <mergeCell ref="B31:D31"/>
    <mergeCell ref="F31:G31"/>
    <mergeCell ref="B32:D32"/>
    <mergeCell ref="F32:G32"/>
    <mergeCell ref="B27:D27"/>
    <mergeCell ref="F27:G27"/>
    <mergeCell ref="B28:D28"/>
    <mergeCell ref="F28:G28"/>
    <mergeCell ref="B29:D29"/>
    <mergeCell ref="F29:G29"/>
    <mergeCell ref="B24:D24"/>
    <mergeCell ref="F24:G24"/>
    <mergeCell ref="B25:D25"/>
    <mergeCell ref="F25:G25"/>
    <mergeCell ref="B26:D26"/>
    <mergeCell ref="F26:G26"/>
    <mergeCell ref="B22:D22"/>
    <mergeCell ref="F22:G22"/>
    <mergeCell ref="J22:L23"/>
    <mergeCell ref="M22:N23"/>
    <mergeCell ref="B23:D23"/>
    <mergeCell ref="F23:G23"/>
    <mergeCell ref="B18:D18"/>
    <mergeCell ref="F18:G18"/>
    <mergeCell ref="B19:D19"/>
    <mergeCell ref="F19:G19"/>
    <mergeCell ref="J19:N21"/>
    <mergeCell ref="B20:D20"/>
    <mergeCell ref="F20:G20"/>
    <mergeCell ref="B21:D21"/>
    <mergeCell ref="F21:G21"/>
    <mergeCell ref="B15:D15"/>
    <mergeCell ref="F15:G15"/>
    <mergeCell ref="B16:D16"/>
    <mergeCell ref="F16:G16"/>
    <mergeCell ref="J16:L17"/>
    <mergeCell ref="M16:N17"/>
    <mergeCell ref="B17:D17"/>
    <mergeCell ref="F17:G17"/>
    <mergeCell ref="F12:G12"/>
    <mergeCell ref="J12:L13"/>
    <mergeCell ref="B13:D13"/>
    <mergeCell ref="F13:G13"/>
    <mergeCell ref="M13:N15"/>
    <mergeCell ref="P13:Q13"/>
    <mergeCell ref="B14:D14"/>
    <mergeCell ref="F14:G14"/>
    <mergeCell ref="J14:L15"/>
    <mergeCell ref="P14:Q15"/>
    <mergeCell ref="M9:O10"/>
    <mergeCell ref="P9:Q10"/>
    <mergeCell ref="B10:D10"/>
    <mergeCell ref="F10:G10"/>
    <mergeCell ref="J10:L11"/>
    <mergeCell ref="B11:D11"/>
    <mergeCell ref="F11:G11"/>
    <mergeCell ref="M11:O12"/>
    <mergeCell ref="P11:Q12"/>
    <mergeCell ref="B12:D12"/>
    <mergeCell ref="J6:L7"/>
    <mergeCell ref="B7:D7"/>
    <mergeCell ref="F7:G7"/>
    <mergeCell ref="B8:D8"/>
    <mergeCell ref="F8:G8"/>
    <mergeCell ref="J8:L9"/>
    <mergeCell ref="B9:D9"/>
    <mergeCell ref="F9:G9"/>
    <mergeCell ref="A1:H3"/>
    <mergeCell ref="B4:D4"/>
    <mergeCell ref="F4:G4"/>
    <mergeCell ref="B5:D5"/>
    <mergeCell ref="F5:G5"/>
    <mergeCell ref="B6:D6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2026-10-21T23:52:53Z</dcterms:created>
  <dcterms:modified xsi:type="dcterms:W3CDTF">2026-10-21T23:53:27Z</dcterms:modified>
</cp:coreProperties>
</file>